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in2016\ShareFolder\Data Privileged\MANI\DSA\Module-01\"/>
    </mc:Choice>
  </mc:AlternateContent>
  <xr:revisionPtr revIDLastSave="0" documentId="13_ncr:1_{A5DBFD37-C107-4D3F-82D7-6DE6D7254D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_01" sheetId="1" r:id="rId1"/>
    <sheet name="QUEST_02" sheetId="2" r:id="rId2"/>
    <sheet name="QUEST_03" sheetId="3" r:id="rId3"/>
    <sheet name="QUEST_04" sheetId="4" r:id="rId4"/>
    <sheet name="QUEST_05" sheetId="5" r:id="rId5"/>
    <sheet name="QUEST_06" sheetId="6" r:id="rId6"/>
    <sheet name="QUEST_07" sheetId="7" r:id="rId7"/>
    <sheet name="QUEST_0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" l="1"/>
  <c r="D2" i="7"/>
  <c r="D4" i="6"/>
  <c r="D3" i="6"/>
  <c r="D2" i="6"/>
  <c r="C5" i="5"/>
  <c r="C4" i="5"/>
  <c r="C3" i="5"/>
  <c r="C2" i="5"/>
  <c r="D4" i="4" l="1"/>
  <c r="C6" i="3" l="1"/>
  <c r="C5" i="3"/>
  <c r="C4" i="3"/>
  <c r="C3" i="3"/>
  <c r="C2" i="3"/>
  <c r="D5" i="2"/>
  <c r="D4" i="2"/>
  <c r="D3" i="2"/>
  <c r="D2" i="2"/>
  <c r="C6" i="1"/>
  <c r="C5" i="1"/>
  <c r="C4" i="1"/>
  <c r="C3" i="1"/>
  <c r="C2" i="1"/>
</calcChain>
</file>

<file path=xl/sharedStrings.xml><?xml version="1.0" encoding="utf-8"?>
<sst xmlns="http://schemas.openxmlformats.org/spreadsheetml/2006/main" count="94" uniqueCount="75">
  <si>
    <t>Write a formula to check if the marks in cell B2 are greater than or equal to 40. If yes, return "Pass" , otherwise . B2 "Pass" "Fail"</t>
  </si>
  <si>
    <t>Student Name</t>
  </si>
  <si>
    <t>Marks</t>
  </si>
  <si>
    <t>Riya</t>
  </si>
  <si>
    <t>Siya</t>
  </si>
  <si>
    <t>Raju</t>
  </si>
  <si>
    <t>Rahul</t>
  </si>
  <si>
    <t>Ram</t>
  </si>
  <si>
    <t>QUEST NO.1</t>
  </si>
  <si>
    <t>FORMULA</t>
  </si>
  <si>
    <t>Company gives a bonus  if sales are above 40,000 and attendance is greater than or equal to 90%. Write a formula to calculate whether the employee will get a bonus or not .</t>
  </si>
  <si>
    <t>QUEST NO.2</t>
  </si>
  <si>
    <t>Employee</t>
  </si>
  <si>
    <t>Sales</t>
  </si>
  <si>
    <t>Attendance</t>
  </si>
  <si>
    <t>Arjun</t>
  </si>
  <si>
    <t>Simran</t>
  </si>
  <si>
    <t>Rohit</t>
  </si>
  <si>
    <t>Anjali</t>
  </si>
  <si>
    <t>Raj</t>
  </si>
  <si>
    <t>Neha</t>
  </si>
  <si>
    <t>Vivek</t>
  </si>
  <si>
    <t>Rani</t>
  </si>
  <si>
    <t>Sneha</t>
  </si>
  <si>
    <t>nested IF formula:</t>
  </si>
  <si>
    <t>Write a nested IF formula:</t>
  </si>
  <si>
    <t>If marks in B2 are ≥ 90 "A" → , ≥ 75"B" → , ≥ 50"C" → , otherwise . "Fail"</t>
  </si>
  <si>
    <t>QUEST NO.3</t>
  </si>
  <si>
    <t>Find the Department of Employee ID = E103. Also explain which LOOKUP function is used and why?</t>
  </si>
  <si>
    <t>QUEST NO.4</t>
  </si>
  <si>
    <t xml:space="preserve">EmpID </t>
  </si>
  <si>
    <t xml:space="preserve"> Department</t>
  </si>
  <si>
    <t>Name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</si>
  <si>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</si>
  <si>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</si>
  <si>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</si>
  <si>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</si>
  <si>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</si>
  <si>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</si>
  <si>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</si>
  <si>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</si>
  <si>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</si>
  <si>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Ans:</t>
  </si>
  <si>
    <r>
      <t xml:space="preserve">The most suitable function here is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 xml:space="preserve"> because:</t>
    </r>
  </si>
  <si>
    <r>
      <t>VLOOKUP</t>
    </r>
    <r>
      <rPr>
        <sz val="11"/>
        <color theme="1"/>
        <rFont val="Calibri"/>
        <family val="2"/>
        <scheme val="minor"/>
      </rPr>
      <t xml:space="preserve"> searches for a value (Employee ID) in the </t>
    </r>
    <r>
      <rPr>
        <b/>
        <sz val="11"/>
        <color theme="1"/>
        <rFont val="Calibri"/>
        <family val="2"/>
        <scheme val="minor"/>
      </rPr>
      <t>first column</t>
    </r>
    <r>
      <rPr>
        <sz val="11"/>
        <color theme="1"/>
        <rFont val="Calibri"/>
        <family val="2"/>
        <scheme val="minor"/>
      </rPr>
      <t xml:space="preserve"> of a table.</t>
    </r>
  </si>
  <si>
    <t>It then returns the corresponding value from another column (Department).</t>
  </si>
  <si>
    <t>It’s ideal when your data is arranged vertically (rows).</t>
  </si>
  <si>
    <t>If a salesperson achieves sales of ₹45,000, use the VLOOKUP function to determine the commission rate applicable.</t>
  </si>
  <si>
    <t>Company has set the following commission structure for its sales team:</t>
  </si>
  <si>
    <t>Sales Amount</t>
  </si>
  <si>
    <t>Commission Rate</t>
  </si>
  <si>
    <t>FUNCTION</t>
  </si>
  <si>
    <t>QUEST NO.5</t>
  </si>
  <si>
    <t>The HR department maintains the following leave records of employees:onus or not .</t>
  </si>
  <si>
    <t>QUEST NO.6</t>
  </si>
  <si>
    <t>Write an IF function to check whether an employee has Exceeded their allowed leave balance.</t>
  </si>
  <si>
    <t>If Leaves Taken &gt; Allowed Leaves, display "Exceeded".</t>
  </si>
  <si>
    <t>Otherwise, display "OK".</t>
  </si>
  <si>
    <t>Employee Name</t>
  </si>
  <si>
    <t>Leaves Taken</t>
  </si>
  <si>
    <t>Leaves Allowed</t>
  </si>
  <si>
    <t>Alex</t>
  </si>
  <si>
    <t>Bob</t>
  </si>
  <si>
    <t>Anna</t>
  </si>
  <si>
    <t>IF FUNCTION</t>
  </si>
  <si>
    <t>Find the salary of EmpID = E105 using INDEX-MATCH Function</t>
  </si>
  <si>
    <t>QUEST NO.7</t>
  </si>
  <si>
    <t>EmpID</t>
  </si>
  <si>
    <t>Salary</t>
  </si>
  <si>
    <t>E105</t>
  </si>
  <si>
    <t>E106</t>
  </si>
  <si>
    <t>Use the XLOOKUP function to find the Department of the employee with Emp ID = E303.</t>
  </si>
  <si>
    <t>QUEST NO.8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</si>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</sst>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44" fontId="0" fillId="0" borderId="0" xfId="1" applyFont="1"/>
    <xf numFmtId="0" fontId="2" fillId="0" borderId="1" xfId="0" applyFont="1" applyBorder="1" applyAlignme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/>
    <xf numFmtId="9" fontId="0" fillId="0" borderId="1" xfId="2" applyFont="1" applyBorder="1"/>
    <xf numFmtId="0" fontId="2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" sqref="C1"/>
    </sheetView>
  </sheetViews>
  <sheetFormatPr defaultRowHeight="15" x14ac:dyDescent="0.25"/>
  <cols>
    <col min="1" max="1" width="13.85546875" bestFit="1" customWidth="1"/>
    <col min="2" max="2" width="6.42578125" bestFit="1" customWidth="1"/>
    <col min="3" max="3" width="10" bestFit="1" customWidth="1"/>
    <col min="5" max="5" width="11.7109375" bestFit="1" customWidth="1"/>
    <col min="8" max="8" width="15.140625" bestFit="1" customWidth="1"/>
  </cols>
  <sheetData>
    <row r="1" spans="1:6" x14ac:dyDescent="0.25">
      <c r="A1" s="3" t="s">
        <v>1</v>
      </c>
      <c r="B1" s="3" t="s">
        <v>2</v>
      </c>
      <c r="C1" s="3" t="s">
        <v>9</v>
      </c>
      <c r="E1" s="2" t="s">
        <v>8</v>
      </c>
      <c r="F1" s="1" t="s">
        <v>0</v>
      </c>
    </row>
    <row r="2" spans="1:6" x14ac:dyDescent="0.25">
      <c r="A2" s="4" t="s">
        <v>3</v>
      </c>
      <c r="B2" s="4">
        <v>45</v>
      </c>
      <c r="C2" s="5" t="str">
        <f>IF(B2&gt;=40,"Pass","Fail")</f>
        <v>Pass</v>
      </c>
    </row>
    <row r="3" spans="1:6" x14ac:dyDescent="0.25">
      <c r="A3" s="4" t="s">
        <v>4</v>
      </c>
      <c r="B3" s="4">
        <v>72</v>
      </c>
      <c r="C3" s="5" t="str">
        <f t="shared" ref="C3:C6" si="0">IF(B3&gt;=40,"Pass","Fail")</f>
        <v>Pass</v>
      </c>
    </row>
    <row r="4" spans="1:6" x14ac:dyDescent="0.25">
      <c r="A4" s="4" t="s">
        <v>5</v>
      </c>
      <c r="B4" s="4">
        <v>55</v>
      </c>
      <c r="C4" s="5" t="str">
        <f t="shared" si="0"/>
        <v>Pass</v>
      </c>
    </row>
    <row r="5" spans="1:6" x14ac:dyDescent="0.25">
      <c r="A5" s="4" t="s">
        <v>6</v>
      </c>
      <c r="B5" s="4">
        <v>80</v>
      </c>
      <c r="C5" s="5" t="str">
        <f t="shared" si="0"/>
        <v>Pass</v>
      </c>
    </row>
    <row r="6" spans="1:6" x14ac:dyDescent="0.25">
      <c r="A6" s="4" t="s">
        <v>7</v>
      </c>
      <c r="B6" s="4">
        <v>30</v>
      </c>
      <c r="C6" s="5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670E-0265-408F-A1C0-C7789D528381}">
  <dimension ref="A1:S21"/>
  <sheetViews>
    <sheetView workbookViewId="0">
      <selection activeCell="F1" sqref="F1"/>
    </sheetView>
  </sheetViews>
  <sheetFormatPr defaultRowHeight="15" x14ac:dyDescent="0.25"/>
  <cols>
    <col min="1" max="1" width="9.85546875" bestFit="1" customWidth="1"/>
    <col min="3" max="3" width="11.28515625" bestFit="1" customWidth="1"/>
    <col min="4" max="4" width="17.42578125" bestFit="1" customWidth="1"/>
    <col min="6" max="6" width="11.7109375" bestFit="1" customWidth="1"/>
  </cols>
  <sheetData>
    <row r="1" spans="1:19" x14ac:dyDescent="0.25">
      <c r="A1" s="6" t="s">
        <v>12</v>
      </c>
      <c r="B1" s="6" t="s">
        <v>13</v>
      </c>
      <c r="C1" s="6" t="s">
        <v>14</v>
      </c>
      <c r="D1" s="6" t="s">
        <v>9</v>
      </c>
      <c r="F1" s="2" t="s">
        <v>11</v>
      </c>
      <c r="G1" s="1" t="s">
        <v>10</v>
      </c>
    </row>
    <row r="2" spans="1:19" x14ac:dyDescent="0.25">
      <c r="A2" s="5" t="s">
        <v>15</v>
      </c>
      <c r="B2" s="5">
        <v>55000</v>
      </c>
      <c r="C2" s="5">
        <v>95</v>
      </c>
      <c r="D2" s="6" t="str">
        <f>IF(AND(B2&gt;40000,C2&gt;=90),"Get bonus","Not bonus")</f>
        <v>Get bonus</v>
      </c>
    </row>
    <row r="3" spans="1:19" x14ac:dyDescent="0.25">
      <c r="A3" s="5" t="s">
        <v>16</v>
      </c>
      <c r="B3" s="5">
        <v>65000</v>
      </c>
      <c r="C3" s="5">
        <v>85</v>
      </c>
      <c r="D3" s="5" t="str">
        <f t="shared" ref="D3:D5" si="0">IF(AND(B3&gt;40000,C3&gt;=90),"Get bonus","Not bonus")</f>
        <v>Not bonus</v>
      </c>
    </row>
    <row r="4" spans="1:19" x14ac:dyDescent="0.25">
      <c r="A4" s="5" t="s">
        <v>17</v>
      </c>
      <c r="B4" s="5">
        <v>30000</v>
      </c>
      <c r="C4" s="5">
        <v>90</v>
      </c>
      <c r="D4" s="5" t="str">
        <f t="shared" si="0"/>
        <v>Not bonus</v>
      </c>
    </row>
    <row r="5" spans="1:19" x14ac:dyDescent="0.25">
      <c r="A5" s="5" t="s">
        <v>18</v>
      </c>
      <c r="B5" s="5">
        <v>25000</v>
      </c>
      <c r="C5" s="5">
        <v>65</v>
      </c>
      <c r="D5" s="5" t="str">
        <f t="shared" si="0"/>
        <v>Not bonus</v>
      </c>
    </row>
    <row r="14" spans="1:19" x14ac:dyDescent="0.25">
      <c r="I14" s="7"/>
      <c r="J14" s="7"/>
      <c r="K14" s="7"/>
    </row>
    <row r="15" spans="1:19" x14ac:dyDescent="0.25">
      <c r="I15" s="8"/>
      <c r="J15" s="8"/>
      <c r="K15" s="8"/>
      <c r="P15" s="9"/>
      <c r="Q15" s="8"/>
      <c r="R15" s="9"/>
      <c r="S15" s="9"/>
    </row>
    <row r="16" spans="1:19" x14ac:dyDescent="0.25">
      <c r="I16" s="8"/>
      <c r="J16" s="8"/>
      <c r="K16" s="8"/>
      <c r="P16" s="9"/>
      <c r="Q16" s="8"/>
      <c r="R16" s="9"/>
      <c r="S16" s="9"/>
    </row>
    <row r="17" spans="9:19" x14ac:dyDescent="0.25">
      <c r="I17" s="8"/>
      <c r="J17" s="8"/>
      <c r="K17" s="8"/>
      <c r="P17" s="9"/>
      <c r="Q17" s="9"/>
      <c r="R17" s="9"/>
      <c r="S17" s="9"/>
    </row>
    <row r="18" spans="9:19" x14ac:dyDescent="0.25">
      <c r="I18" s="8"/>
      <c r="J18" s="8"/>
      <c r="K18" s="8"/>
      <c r="P18" s="9"/>
      <c r="Q18" s="9"/>
      <c r="R18" s="9"/>
      <c r="S18" s="9"/>
    </row>
    <row r="19" spans="9:19" x14ac:dyDescent="0.25">
      <c r="I19" s="8"/>
      <c r="J19" s="8"/>
      <c r="K19" s="9"/>
      <c r="P19" s="9"/>
      <c r="Q19" s="9"/>
      <c r="R19" s="9"/>
      <c r="S19" s="9"/>
    </row>
    <row r="20" spans="9:19" x14ac:dyDescent="0.25">
      <c r="I20" s="8"/>
      <c r="J20" s="8"/>
      <c r="K20" s="9"/>
    </row>
    <row r="21" spans="9:19" x14ac:dyDescent="0.25">
      <c r="I21" s="9"/>
      <c r="J21" s="9"/>
      <c r="K2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3108-0CAE-4848-A628-A429D5BC3871}">
  <dimension ref="A1:K24"/>
  <sheetViews>
    <sheetView workbookViewId="0">
      <selection activeCell="E1" sqref="E1"/>
    </sheetView>
  </sheetViews>
  <sheetFormatPr defaultRowHeight="15" x14ac:dyDescent="0.25"/>
  <cols>
    <col min="1" max="1" width="13.85546875" bestFit="1" customWidth="1"/>
    <col min="2" max="2" width="6.42578125" bestFit="1" customWidth="1"/>
    <col min="5" max="5" width="11.7109375" bestFit="1" customWidth="1"/>
    <col min="10" max="10" width="22.140625" bestFit="1" customWidth="1"/>
    <col min="11" max="11" width="10.42578125" bestFit="1" customWidth="1"/>
  </cols>
  <sheetData>
    <row r="1" spans="1:6" s="12" customFormat="1" ht="30" x14ac:dyDescent="0.25">
      <c r="A1" s="13" t="s">
        <v>1</v>
      </c>
      <c r="B1" s="13" t="s">
        <v>2</v>
      </c>
      <c r="C1" s="13" t="s">
        <v>24</v>
      </c>
      <c r="E1" s="2" t="s">
        <v>27</v>
      </c>
      <c r="F1" s="1" t="s">
        <v>25</v>
      </c>
    </row>
    <row r="2" spans="1:6" x14ac:dyDescent="0.25">
      <c r="A2" s="5" t="s">
        <v>19</v>
      </c>
      <c r="B2" s="5">
        <v>85</v>
      </c>
      <c r="C2" s="5" t="str">
        <f>IF(B2&gt;=90,"A",IF(B2&gt;=75,"B",IF(B2&gt;=50,"C","Fail")))</f>
        <v>B</v>
      </c>
      <c r="F2" s="1" t="s">
        <v>26</v>
      </c>
    </row>
    <row r="3" spans="1:6" x14ac:dyDescent="0.25">
      <c r="A3" s="5" t="s">
        <v>20</v>
      </c>
      <c r="B3" s="5">
        <v>96</v>
      </c>
      <c r="C3" s="5" t="str">
        <f t="shared" ref="C3:C6" si="0">IF(B3&gt;=90,"A",IF(B3&gt;=75,"B",IF(B3&gt;=50,"C","Fail")))</f>
        <v>A</v>
      </c>
    </row>
    <row r="4" spans="1:6" x14ac:dyDescent="0.25">
      <c r="A4" s="5" t="s">
        <v>21</v>
      </c>
      <c r="B4" s="5">
        <v>57</v>
      </c>
      <c r="C4" s="5" t="str">
        <f t="shared" si="0"/>
        <v>C</v>
      </c>
    </row>
    <row r="5" spans="1:6" x14ac:dyDescent="0.25">
      <c r="A5" s="5" t="s">
        <v>22</v>
      </c>
      <c r="B5" s="5">
        <v>92</v>
      </c>
      <c r="C5" s="5" t="str">
        <f t="shared" si="0"/>
        <v>A</v>
      </c>
    </row>
    <row r="6" spans="1:6" x14ac:dyDescent="0.25">
      <c r="A6" s="5" t="s">
        <v>23</v>
      </c>
      <c r="B6" s="5">
        <v>75</v>
      </c>
      <c r="C6" s="5" t="str">
        <f t="shared" si="0"/>
        <v>B</v>
      </c>
    </row>
    <row r="19" spans="10:11" ht="23.25" x14ac:dyDescent="0.35">
      <c r="J19" s="10"/>
      <c r="K19" s="10"/>
    </row>
    <row r="20" spans="10:11" ht="23.25" x14ac:dyDescent="0.35">
      <c r="J20" s="11"/>
      <c r="K20" s="11"/>
    </row>
    <row r="21" spans="10:11" ht="23.25" x14ac:dyDescent="0.35">
      <c r="J21" s="11"/>
      <c r="K21" s="11"/>
    </row>
    <row r="22" spans="10:11" ht="23.25" x14ac:dyDescent="0.35">
      <c r="J22" s="11"/>
      <c r="K22" s="11"/>
    </row>
    <row r="23" spans="10:11" ht="23.25" x14ac:dyDescent="0.35">
      <c r="J23" s="11"/>
      <c r="K23" s="11"/>
    </row>
    <row r="24" spans="10:11" ht="23.25" x14ac:dyDescent="0.35">
      <c r="J24" s="11"/>
      <c r="K24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C0E8-4F95-4BB8-9D4E-9C33CF0133BB}">
  <dimension ref="A1:G14"/>
  <sheetViews>
    <sheetView workbookViewId="0">
      <selection activeCell="D4" sqref="D4"/>
    </sheetView>
  </sheetViews>
  <sheetFormatPr defaultRowHeight="15" x14ac:dyDescent="0.25"/>
  <cols>
    <col min="1" max="1" width="7.140625" bestFit="1" customWidth="1"/>
    <col min="2" max="2" width="7" bestFit="1" customWidth="1"/>
    <col min="3" max="3" width="12.140625" bestFit="1" customWidth="1"/>
    <col min="6" max="6" width="11.7109375" bestFit="1" customWidth="1"/>
  </cols>
  <sheetData>
    <row r="1" spans="1:7" x14ac:dyDescent="0.25">
      <c r="A1" s="16" t="s">
        <v>30</v>
      </c>
      <c r="B1" s="16" t="s">
        <v>32</v>
      </c>
      <c r="C1" s="16" t="s">
        <v>31</v>
      </c>
      <c r="D1" s="22" t="s">
        <v>51</v>
      </c>
      <c r="F1" s="2" t="s">
        <v>29</v>
      </c>
      <c r="G1" s="1" t="s">
        <v>28</v>
      </c>
    </row>
    <row r="2" spans="1:7" x14ac:dyDescent="0.25">
      <c r="A2" s="14" t="s">
        <v>33</v>
      </c>
      <c r="B2" s="14" t="s">
        <v>5</v>
      </c>
      <c r="C2" s="14" t="s">
        <v>34</v>
      </c>
      <c r="D2" s="19">
        <v>0</v>
      </c>
    </row>
    <row r="3" spans="1:7" x14ac:dyDescent="0.25">
      <c r="A3" s="14" t="s">
        <v>35</v>
      </c>
      <c r="B3" s="14" t="s">
        <v>3</v>
      </c>
      <c r="C3" s="14" t="s">
        <v>36</v>
      </c>
      <c r="D3" s="19">
        <v>0</v>
      </c>
      <c r="F3" s="1" t="s">
        <v>42</v>
      </c>
      <c r="G3" t="s">
        <v>43</v>
      </c>
    </row>
    <row r="4" spans="1:7" x14ac:dyDescent="0.25">
      <c r="A4" s="14" t="s">
        <v>37</v>
      </c>
      <c r="B4" s="14" t="s">
        <v>38</v>
      </c>
      <c r="C4" s="14" t="s">
        <v>39</v>
      </c>
      <c r="D4" s="19" t="str">
        <f t="shared" ref="D3:D5" si="0">VLOOKUP("E103", $A$2:$C$5, 3, 0)</f>
        <v>Finance</v>
      </c>
      <c r="G4" s="18" t="s">
        <v>44</v>
      </c>
    </row>
    <row r="5" spans="1:7" x14ac:dyDescent="0.25">
      <c r="A5" s="14" t="s">
        <v>40</v>
      </c>
      <c r="B5" s="14" t="s">
        <v>41</v>
      </c>
      <c r="C5" s="14" t="s">
        <v>13</v>
      </c>
      <c r="D5" s="19">
        <v>0</v>
      </c>
      <c r="G5" s="17" t="s">
        <v>45</v>
      </c>
    </row>
    <row r="6" spans="1:7" x14ac:dyDescent="0.25">
      <c r="G6" s="17" t="s">
        <v>46</v>
      </c>
    </row>
    <row r="8" spans="1:7" x14ac:dyDescent="0.25">
      <c r="G8" s="17"/>
    </row>
    <row r="14" spans="1:7" x14ac:dyDescent="0.25">
      <c r="F1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3863-C7B9-4D3A-AED4-5B38DDF39A79}">
  <dimension ref="A1:F5"/>
  <sheetViews>
    <sheetView workbookViewId="0">
      <selection activeCell="C1" sqref="C1:C5"/>
    </sheetView>
  </sheetViews>
  <sheetFormatPr defaultRowHeight="15" x14ac:dyDescent="0.25"/>
  <cols>
    <col min="1" max="1" width="13.28515625" bestFit="1" customWidth="1"/>
    <col min="2" max="2" width="16.42578125" bestFit="1" customWidth="1"/>
    <col min="3" max="3" width="10.42578125" bestFit="1" customWidth="1"/>
    <col min="5" max="5" width="11.7109375" bestFit="1" customWidth="1"/>
  </cols>
  <sheetData>
    <row r="1" spans="1:6" x14ac:dyDescent="0.25">
      <c r="A1" s="21" t="s">
        <v>49</v>
      </c>
      <c r="B1" s="21" t="s">
        <v>50</v>
      </c>
      <c r="C1" s="3" t="s">
        <v>51</v>
      </c>
    </row>
    <row r="2" spans="1:6" x14ac:dyDescent="0.25">
      <c r="A2" s="19">
        <v>0</v>
      </c>
      <c r="B2" s="20">
        <v>0.05</v>
      </c>
      <c r="C2" s="23">
        <f>IFERROR(VLOOKUP(45000, $A$2:$B$5, 2, FALSE), 0)</f>
        <v>0</v>
      </c>
    </row>
    <row r="3" spans="1:6" x14ac:dyDescent="0.25">
      <c r="A3" s="19">
        <v>20000</v>
      </c>
      <c r="B3" s="20">
        <v>0.1</v>
      </c>
      <c r="C3" s="23">
        <f t="shared" ref="C3:C5" si="0">IFERROR(VLOOKUP(45000, $A$2:$B$5, 2, FALSE), 0)</f>
        <v>0</v>
      </c>
      <c r="E3" s="2" t="s">
        <v>52</v>
      </c>
      <c r="F3" s="1" t="s">
        <v>48</v>
      </c>
    </row>
    <row r="4" spans="1:6" x14ac:dyDescent="0.25">
      <c r="A4" s="19">
        <v>50000</v>
      </c>
      <c r="B4" s="20">
        <v>0.15</v>
      </c>
      <c r="C4" s="23">
        <f t="shared" si="0"/>
        <v>0</v>
      </c>
    </row>
    <row r="5" spans="1:6" x14ac:dyDescent="0.25">
      <c r="A5" s="19">
        <v>80000</v>
      </c>
      <c r="B5" s="20">
        <v>0.2</v>
      </c>
      <c r="C5" s="23">
        <f t="shared" si="0"/>
        <v>0</v>
      </c>
      <c r="F5" s="1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D8B9-B375-45FD-93E1-820BEAB1A466}">
  <dimension ref="A1:G8"/>
  <sheetViews>
    <sheetView workbookViewId="0">
      <selection activeCell="F2" sqref="F2"/>
    </sheetView>
  </sheetViews>
  <sheetFormatPr defaultRowHeight="15" x14ac:dyDescent="0.25"/>
  <cols>
    <col min="1" max="1" width="15.7109375" bestFit="1" customWidth="1"/>
    <col min="2" max="2" width="12.7109375" bestFit="1" customWidth="1"/>
    <col min="3" max="4" width="15" bestFit="1" customWidth="1"/>
    <col min="6" max="6" width="11.7109375" bestFit="1" customWidth="1"/>
  </cols>
  <sheetData>
    <row r="1" spans="1:7" x14ac:dyDescent="0.25">
      <c r="A1" s="6" t="s">
        <v>58</v>
      </c>
      <c r="B1" s="6" t="s">
        <v>59</v>
      </c>
      <c r="C1" s="6" t="s">
        <v>60</v>
      </c>
      <c r="D1" s="24" t="s">
        <v>64</v>
      </c>
    </row>
    <row r="2" spans="1:7" x14ac:dyDescent="0.25">
      <c r="A2" s="5" t="s">
        <v>61</v>
      </c>
      <c r="B2" s="5">
        <v>10</v>
      </c>
      <c r="C2" s="5">
        <v>12</v>
      </c>
      <c r="D2" s="5" t="str">
        <f>IF(B2&gt;C2,"Exceeded","OK")</f>
        <v>OK</v>
      </c>
      <c r="F2" s="2" t="s">
        <v>54</v>
      </c>
      <c r="G2" s="1" t="s">
        <v>53</v>
      </c>
    </row>
    <row r="3" spans="1:7" x14ac:dyDescent="0.25">
      <c r="A3" s="5" t="s">
        <v>62</v>
      </c>
      <c r="B3" s="5">
        <v>10</v>
      </c>
      <c r="C3" s="5">
        <v>15</v>
      </c>
      <c r="D3" s="5" t="str">
        <f t="shared" ref="D3:D4" si="0">IF(B3&gt;C3,"Exceeded","OK")</f>
        <v>OK</v>
      </c>
    </row>
    <row r="4" spans="1:7" x14ac:dyDescent="0.25">
      <c r="A4" s="5" t="s">
        <v>63</v>
      </c>
      <c r="B4" s="5">
        <v>8</v>
      </c>
      <c r="C4" s="5">
        <v>12</v>
      </c>
      <c r="D4" s="5" t="str">
        <f t="shared" si="0"/>
        <v>OK</v>
      </c>
      <c r="G4" t="s">
        <v>55</v>
      </c>
    </row>
    <row r="6" spans="1:7" x14ac:dyDescent="0.25">
      <c r="G6" t="s">
        <v>56</v>
      </c>
    </row>
    <row r="8" spans="1:7" x14ac:dyDescent="0.25">
      <c r="G8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7AC0-347E-4323-ABFE-3ECB99380867}">
  <dimension ref="A1:J5"/>
  <sheetViews>
    <sheetView workbookViewId="0">
      <selection activeCell="D2" sqref="D2"/>
    </sheetView>
  </sheetViews>
  <sheetFormatPr defaultRowHeight="15" x14ac:dyDescent="0.25"/>
  <cols>
    <col min="9" max="9" width="11.7109375" bestFit="1" customWidth="1"/>
  </cols>
  <sheetData>
    <row r="1" spans="1:10" x14ac:dyDescent="0.25">
      <c r="A1" s="6" t="s">
        <v>67</v>
      </c>
      <c r="B1" s="6" t="s">
        <v>68</v>
      </c>
      <c r="D1" s="1" t="s">
        <v>51</v>
      </c>
    </row>
    <row r="2" spans="1:10" x14ac:dyDescent="0.25">
      <c r="A2" s="5" t="s">
        <v>40</v>
      </c>
      <c r="B2" s="5">
        <v>55000</v>
      </c>
      <c r="D2" s="25">
        <f>INDEX($B$2:$B$5, MATCH("E105", $A$2:$A$5, 0))</f>
        <v>72000</v>
      </c>
      <c r="I2" s="2" t="s">
        <v>66</v>
      </c>
      <c r="J2" s="1" t="s">
        <v>65</v>
      </c>
    </row>
    <row r="3" spans="1:10" x14ac:dyDescent="0.25">
      <c r="A3" s="5" t="s">
        <v>69</v>
      </c>
      <c r="B3" s="5">
        <v>72000</v>
      </c>
    </row>
    <row r="4" spans="1:10" x14ac:dyDescent="0.25">
      <c r="A4" s="5" t="s">
        <v>70</v>
      </c>
      <c r="B4" s="5">
        <v>62000</v>
      </c>
    </row>
    <row r="5" spans="1:10" x14ac:dyDescent="0.25">
      <c r="A5" s="5" t="s">
        <v>35</v>
      </c>
      <c r="B5" s="5">
        <v>41000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7784-F9EB-4640-B09A-3FC7CE70537B}">
  <dimension ref="A1:I5"/>
  <sheetViews>
    <sheetView workbookViewId="0">
      <selection activeCell="D1" sqref="D1"/>
    </sheetView>
  </sheetViews>
  <sheetFormatPr defaultRowHeight="15" x14ac:dyDescent="0.25"/>
  <cols>
    <col min="8" max="8" width="11.7109375" bestFit="1" customWidth="1"/>
  </cols>
  <sheetData>
    <row r="1" spans="1:9" x14ac:dyDescent="0.25">
      <c r="A1" s="3" t="s">
        <v>67</v>
      </c>
      <c r="B1" s="6" t="s">
        <v>68</v>
      </c>
      <c r="D1" s="1" t="s">
        <v>51</v>
      </c>
    </row>
    <row r="2" spans="1:9" x14ac:dyDescent="0.25">
      <c r="A2" s="4" t="s">
        <v>33</v>
      </c>
      <c r="B2" s="4" t="s">
        <v>36</v>
      </c>
      <c r="D2" s="25" t="str">
        <f>_xlfn.XLOOKUP("E303",A1:A5,B1:B5)</f>
        <v>IT</v>
      </c>
      <c r="H2" s="2" t="s">
        <v>72</v>
      </c>
      <c r="I2" s="1" t="s">
        <v>71</v>
      </c>
    </row>
    <row r="3" spans="1:9" x14ac:dyDescent="0.25">
      <c r="A3" s="4" t="s">
        <v>73</v>
      </c>
      <c r="B3" s="4" t="s">
        <v>34</v>
      </c>
    </row>
    <row r="4" spans="1:9" x14ac:dyDescent="0.25">
      <c r="A4" s="4" t="s">
        <v>70</v>
      </c>
      <c r="B4" s="4" t="s">
        <v>13</v>
      </c>
    </row>
    <row r="5" spans="1:9" x14ac:dyDescent="0.25">
      <c r="A5" s="4" t="s">
        <v>74</v>
      </c>
      <c r="B5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QUEST_01</vt:lpstr>
      <vt:lpstr>QUEST_02</vt:lpstr>
      <vt:lpstr>QUEST_03</vt:lpstr>
      <vt:lpstr>QUEST_04</vt:lpstr>
      <vt:lpstr>QUEST_05</vt:lpstr>
      <vt:lpstr>QUEST_06</vt:lpstr>
      <vt:lpstr>QUEST_07</vt:lpstr>
      <vt:lpstr>QUEST_08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Karaira</dc:creator>
  <cp:lastModifiedBy>MIS</cp:lastModifiedBy>
  <dcterms:created xsi:type="dcterms:W3CDTF">2015-06-05T18:17:20Z</dcterms:created>
  <dcterms:modified xsi:type="dcterms:W3CDTF">2025-11-07T12:45:58Z</dcterms:modified>
</cp:coreProperties>
</file>